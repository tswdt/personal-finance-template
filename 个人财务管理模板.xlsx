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类别管理" sheetId="2" state="visible" r:id="rId2"/>
    <sheet xmlns:r="http://schemas.openxmlformats.org/officeDocument/2006/relationships" name="记账记录" sheetId="3" state="visible" r:id="rId3"/>
    <sheet xmlns:r="http://schemas.openxmlformats.org/officeDocument/2006/relationships" name="仪表盘" sheetId="4" state="visible" r:id="rId4"/>
    <sheet xmlns:r="http://schemas.openxmlformats.org/officeDocument/2006/relationships" name="月度汇总" sheetId="5" state="visible" r:id="rId5"/>
    <sheet xmlns:r="http://schemas.openxmlformats.org/officeDocument/2006/relationships" name="预算设置" sheetId="6" state="visible" r:id="rId6"/>
  </sheets>
  <definedNames>
    <definedName name="_xlnm._FilterDatabase" localSheetId="2" hidden="1">'记账记录'!$A$3:$G$23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000000"/>
      <sz val="10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color rgb="001F4E79"/>
      <sz val="11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color rgb="0000B050"/>
      <sz val="10"/>
    </font>
    <font>
      <name val="微软雅黑"/>
      <b val="1"/>
      <color rgb="00FF0000"/>
      <sz val="10"/>
    </font>
    <font>
      <name val="微软雅黑"/>
      <b val="1"/>
      <color rgb="0000B050"/>
      <sz val="12"/>
    </font>
    <font>
      <name val="微软雅黑"/>
      <b val="1"/>
      <color rgb="00FF0000"/>
      <sz val="12"/>
    </font>
    <font>
      <name val="微软雅黑"/>
      <b val="1"/>
      <color rgb="001F4E79"/>
      <sz val="12"/>
    </font>
    <font>
      <name val="微软雅黑"/>
      <b val="1"/>
      <color rgb="0000B050"/>
      <sz val="16"/>
    </font>
    <font>
      <name val="微软雅黑"/>
      <b val="1"/>
      <color rgb="00FF0000"/>
      <sz val="16"/>
    </font>
    <font>
      <name val="微软雅黑"/>
      <b val="1"/>
      <color rgb="001F4E79"/>
      <sz val="16"/>
    </font>
    <font>
      <name val="微软雅黑"/>
      <b val="1"/>
      <color rgb="002E75B6"/>
      <sz val="16"/>
    </font>
    <font>
      <name val="微软雅黑"/>
      <b val="1"/>
      <sz val="10"/>
    </font>
    <font>
      <name val="微软雅黑"/>
      <color rgb="0000B050"/>
      <sz val="10"/>
    </font>
    <font>
      <name val="微软雅黑"/>
      <color rgb="00FF0000"/>
      <sz val="10"/>
    </font>
    <font>
      <name val="微软雅黑"/>
      <color rgb="00808080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2E75B6"/>
        <bgColor rgb="002E75B6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4" fontId="13" fillId="0" borderId="1" applyAlignment="1" pivotButton="0" quotePrefix="0" xfId="0">
      <alignment horizontal="center" vertical="center"/>
    </xf>
    <xf numFmtId="4" fontId="14" fillId="0" borderId="1" applyAlignment="1" pivotButton="0" quotePrefix="0" xfId="0">
      <alignment horizontal="center" vertical="center"/>
    </xf>
    <xf numFmtId="4" fontId="15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" fontId="18" fillId="0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4" fontId="18" fillId="3" borderId="1" applyAlignment="1" pivotButton="0" quotePrefix="0" xfId="0">
      <alignment horizontal="center" vertical="center"/>
    </xf>
    <xf numFmtId="4" fontId="19" fillId="3" borderId="1" applyAlignment="1" pivotButton="0" quotePrefix="0" xfId="0">
      <alignment horizontal="center" vertical="center"/>
    </xf>
    <xf numFmtId="4" fontId="17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支出类别分布</a:t>
            </a:r>
          </a:p>
        </rich>
      </tx>
    </title>
    <plotArea>
      <pieChart>
        <varyColors val="1"/>
        <ser>
          <idx val="0"/>
          <order val="0"/>
          <tx>
            <strRef>
              <f>'仪表盘'!B7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6B6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ECDC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5B7D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6CEB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EAA7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DA0DD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8D8C8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7DC6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B8FCE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5C1E9"/>
              </a:solidFill>
              <a:ln xmlns:a="http://schemas.openxmlformats.org/drawingml/2006/main">
                <a:prstDash val="solid"/>
              </a:ln>
            </spPr>
          </dPt>
          <cat>
            <numRef>
              <f>'仪表盘'!$A$8:$A$17</f>
            </numRef>
          </cat>
          <val>
            <numRef>
              <f>'仪表盘'!$B$8:$B$17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收入类别分布</a:t>
            </a:r>
          </a:p>
        </rich>
      </tx>
    </title>
    <plotArea>
      <pieChart>
        <varyColors val="1"/>
        <ser>
          <idx val="0"/>
          <order val="0"/>
          <tx>
            <strRef>
              <f>'仪表盘'!E7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B59B6"/>
              </a:solidFill>
              <a:ln xmlns:a="http://schemas.openxmlformats.org/drawingml/2006/main">
                <a:prstDash val="solid"/>
              </a:ln>
            </spPr>
          </dPt>
          <cat>
            <numRef>
              <f>'仪表盘'!$D$8:$D$12</f>
            </numRef>
          </cat>
          <val>
            <numRef>
              <f>'仪表盘'!$E$8:$E$12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月度收支趋势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'仪表盘'!H7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prstDash val="solid"/>
            </a:ln>
          </spPr>
          <cat>
            <numRef>
              <f>'仪表盘'!$G$8:$G$19</f>
            </numRef>
          </cat>
          <val>
            <numRef>
              <f>'仪表盘'!$H$8:$H$19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50" customHeight="1">
      <c r="A1" s="1" t="inlineStr">
        <is>
          <t>📊 个人财务管理模板 v1.0</t>
        </is>
      </c>
    </row>
    <row r="3">
      <c r="A3" s="2" t="inlineStr"/>
      <c r="B3" s="3" t="inlineStr"/>
    </row>
    <row r="4" ht="25" customHeight="1">
      <c r="A4" s="4" t="inlineStr">
        <is>
          <t>📋 功能概览</t>
        </is>
      </c>
      <c r="B4" s="4" t="inlineStr">
        <is>
          <t>全自动记账、分类统计、月度汇总、可视化图表</t>
        </is>
      </c>
    </row>
    <row r="5">
      <c r="A5" s="2" t="inlineStr"/>
      <c r="B5" s="3" t="inlineStr"/>
    </row>
    <row r="6" ht="25" customHeight="1">
      <c r="A6" s="4" t="inlineStr">
        <is>
          <t>📌 使用步骤</t>
        </is>
      </c>
      <c r="B6" s="4" t="inlineStr"/>
    </row>
    <row r="7">
      <c r="A7" s="2" t="inlineStr">
        <is>
          <t xml:space="preserve">  步骤 1</t>
        </is>
      </c>
      <c r="B7" s="3" t="inlineStr">
        <is>
          <t>在【记账记录】表中逐笔录入收支明细</t>
        </is>
      </c>
    </row>
    <row r="8">
      <c r="A8" s="2" t="inlineStr">
        <is>
          <t xml:space="preserve">  步骤 2</t>
        </is>
      </c>
      <c r="B8" s="3" t="inlineStr">
        <is>
          <t>在【类别管理】中可自定义收支类别</t>
        </is>
      </c>
    </row>
    <row r="9">
      <c r="A9" s="2" t="inlineStr">
        <is>
          <t xml:space="preserve">  步骤 3</t>
        </is>
      </c>
      <c r="B9" s="3" t="inlineStr">
        <is>
          <t>设定月度预算，自动监控超支情况</t>
        </is>
      </c>
    </row>
    <row r="10">
      <c r="A10" s="2" t="inlineStr">
        <is>
          <t xml:space="preserve">  步骤 4</t>
        </is>
      </c>
      <c r="B10" s="3" t="inlineStr">
        <is>
          <t>切换到【仪表盘】查看自动生成的图表分析</t>
        </is>
      </c>
    </row>
    <row r="11">
      <c r="A11" s="2" t="inlineStr">
        <is>
          <t xml:space="preserve">  步骤 5</t>
        </is>
      </c>
      <c r="B11" s="3" t="inlineStr">
        <is>
          <t>查看【月度汇总】了解每月收支概况</t>
        </is>
      </c>
    </row>
    <row r="12">
      <c r="A12" s="2" t="inlineStr"/>
      <c r="B12" s="3" t="inlineStr"/>
    </row>
    <row r="13" ht="25" customHeight="1">
      <c r="A13" s="4" t="inlineStr">
        <is>
          <t>💡 小贴士</t>
        </is>
      </c>
      <c r="B13" s="4" t="inlineStr"/>
    </row>
    <row r="14">
      <c r="A14" s="2" t="inlineStr">
        <is>
          <t xml:space="preserve">  •</t>
        </is>
      </c>
      <c r="B14" s="3" t="inlineStr">
        <is>
          <t>日期格式请填写 YYYY-MM-DD（如 2026-05-21）</t>
        </is>
      </c>
    </row>
    <row r="15">
      <c r="A15" s="2" t="inlineStr">
        <is>
          <t xml:space="preserve">  •</t>
        </is>
      </c>
      <c r="B15" s="3" t="inlineStr">
        <is>
          <t>收入金额填正数，支出金额填正数（系统自动区分）</t>
        </is>
      </c>
    </row>
    <row r="16">
      <c r="A16" s="2" t="inlineStr">
        <is>
          <t xml:space="preserve">  •</t>
        </is>
      </c>
      <c r="B16" s="3" t="inlineStr">
        <is>
          <t>建议每周录入一次，保持数据及时</t>
        </is>
      </c>
    </row>
    <row r="17">
      <c r="A17" s="2" t="inlineStr">
        <is>
          <t xml:space="preserve">  •</t>
        </is>
      </c>
      <c r="B17" s="3" t="inlineStr">
        <is>
          <t>所有图表和汇总数据会自动更新，无需手动操作</t>
        </is>
      </c>
    </row>
    <row r="18">
      <c r="A18" s="2" t="inlineStr"/>
      <c r="B18" s="3" t="inlineStr"/>
    </row>
    <row r="19" ht="25" customHeight="1">
      <c r="A19" s="4" t="inlineStr">
        <is>
          <t>🎨 颜色说明</t>
        </is>
      </c>
      <c r="B19" s="4" t="inlineStr"/>
    </row>
    <row r="20">
      <c r="A20" s="2" t="inlineStr">
        <is>
          <t xml:space="preserve">  🟢 绿色</t>
        </is>
      </c>
      <c r="B20" s="3" t="inlineStr">
        <is>
          <t>代表收入 / 正数</t>
        </is>
      </c>
    </row>
    <row r="21">
      <c r="A21" s="2" t="inlineStr">
        <is>
          <t xml:space="preserve">  🔴 红色</t>
        </is>
      </c>
      <c r="B21" s="3" t="inlineStr">
        <is>
          <t>代表支出 / 负数</t>
        </is>
      </c>
    </row>
    <row r="22">
      <c r="A22" s="2" t="inlineStr">
        <is>
          <t xml:space="preserve">  🔵 蓝色</t>
        </is>
      </c>
      <c r="B22" s="3" t="inlineStr">
        <is>
          <t>代表汇总统计数据</t>
        </is>
      </c>
    </row>
    <row r="23">
      <c r="A23" s="2" t="inlineStr"/>
      <c r="B23" s="3" t="inlineStr"/>
    </row>
    <row r="24" ht="25" customHeight="1">
      <c r="A24" s="4" t="inlineStr">
        <is>
          <t>⚠️ 注意事项</t>
        </is>
      </c>
      <c r="B24" s="4" t="inlineStr"/>
    </row>
    <row r="25">
      <c r="A25" s="2" t="inlineStr">
        <is>
          <t xml:space="preserve">  •</t>
        </is>
      </c>
      <c r="B25" s="3" t="inlineStr">
        <is>
          <t>请勿删除或重命名工作表，否则公式会出错</t>
        </is>
      </c>
    </row>
    <row r="26">
      <c r="A26" s="2" t="inlineStr">
        <is>
          <t xml:space="preserve">  •</t>
        </is>
      </c>
      <c r="B26" s="3" t="inlineStr">
        <is>
          <t>建议定期备份文件</t>
        </is>
      </c>
    </row>
    <row r="27">
      <c r="A27" s="2" t="inlineStr">
        <is>
          <t xml:space="preserve">  •</t>
        </is>
      </c>
      <c r="B27" s="3" t="inlineStr">
        <is>
          <t>本模板为通用版本，可根据个人需求调整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30" customWidth="1" min="4" max="4"/>
  </cols>
  <sheetData>
    <row r="1" ht="35" customHeight="1">
      <c r="A1" s="5" t="inlineStr">
        <is>
          <t>📂 收支类别管理</t>
        </is>
      </c>
    </row>
    <row r="2">
      <c r="A2" s="6" t="inlineStr">
        <is>
          <t>序号</t>
        </is>
      </c>
      <c r="B2" s="6" t="inlineStr">
        <is>
          <t>类别名称</t>
        </is>
      </c>
      <c r="C2" s="6" t="inlineStr">
        <is>
          <t>类型</t>
        </is>
      </c>
      <c r="D2" s="6" t="inlineStr">
        <is>
          <t>说明</t>
        </is>
      </c>
    </row>
    <row r="3">
      <c r="A3" s="7" t="n">
        <v>1</v>
      </c>
      <c r="B3" s="7" t="inlineStr">
        <is>
          <t>工资薪金</t>
        </is>
      </c>
      <c r="C3" s="8" t="inlineStr">
        <is>
          <t>收入</t>
        </is>
      </c>
      <c r="D3" s="7" t="inlineStr">
        <is>
          <t>工资、奖金、津贴</t>
        </is>
      </c>
    </row>
    <row r="4">
      <c r="A4" s="9" t="n">
        <v>2</v>
      </c>
      <c r="B4" s="9" t="inlineStr">
        <is>
          <t>投资收益</t>
        </is>
      </c>
      <c r="C4" s="10" t="inlineStr">
        <is>
          <t>收入</t>
        </is>
      </c>
      <c r="D4" s="9" t="inlineStr">
        <is>
          <t>股票、基金、理财收益</t>
        </is>
      </c>
    </row>
    <row r="5">
      <c r="A5" s="7" t="n">
        <v>3</v>
      </c>
      <c r="B5" s="7" t="inlineStr">
        <is>
          <t>兼职收入</t>
        </is>
      </c>
      <c r="C5" s="8" t="inlineStr">
        <is>
          <t>收入</t>
        </is>
      </c>
      <c r="D5" s="7" t="inlineStr">
        <is>
          <t>自由职业、副业</t>
        </is>
      </c>
    </row>
    <row r="6">
      <c r="A6" s="9" t="n">
        <v>4</v>
      </c>
      <c r="B6" s="9" t="inlineStr">
        <is>
          <t>礼金红包</t>
        </is>
      </c>
      <c r="C6" s="10" t="inlineStr">
        <is>
          <t>收入</t>
        </is>
      </c>
      <c r="D6" s="9" t="inlineStr">
        <is>
          <t>收到红包、礼金</t>
        </is>
      </c>
    </row>
    <row r="7">
      <c r="A7" s="7" t="n">
        <v>5</v>
      </c>
      <c r="B7" s="7" t="inlineStr">
        <is>
          <t>其他收入</t>
        </is>
      </c>
      <c r="C7" s="8" t="inlineStr">
        <is>
          <t>收入</t>
        </is>
      </c>
      <c r="D7" s="7" t="inlineStr">
        <is>
          <t>其他杂项收入</t>
        </is>
      </c>
    </row>
    <row r="8">
      <c r="A8" s="9" t="n">
        <v>6</v>
      </c>
      <c r="B8" s="9" t="inlineStr">
        <is>
          <t>餐饮饮食</t>
        </is>
      </c>
      <c r="C8" s="11" t="inlineStr">
        <is>
          <t>支出</t>
        </is>
      </c>
      <c r="D8" s="9" t="inlineStr">
        <is>
          <t>三餐、外卖、零食饮料</t>
        </is>
      </c>
    </row>
    <row r="9">
      <c r="A9" s="7" t="n">
        <v>7</v>
      </c>
      <c r="B9" s="7" t="inlineStr">
        <is>
          <t>交通出行</t>
        </is>
      </c>
      <c r="C9" s="12" t="inlineStr">
        <is>
          <t>支出</t>
        </is>
      </c>
      <c r="D9" s="7" t="inlineStr">
        <is>
          <t>地铁公交、打车、油费</t>
        </is>
      </c>
    </row>
    <row r="10">
      <c r="A10" s="9" t="n">
        <v>8</v>
      </c>
      <c r="B10" s="9" t="inlineStr">
        <is>
          <t>住房物业</t>
        </is>
      </c>
      <c r="C10" s="11" t="inlineStr">
        <is>
          <t>支出</t>
        </is>
      </c>
      <c r="D10" s="9" t="inlineStr">
        <is>
          <t>房租/房贷、水电燃气、物业</t>
        </is>
      </c>
    </row>
    <row r="11">
      <c r="A11" s="7" t="n">
        <v>9</v>
      </c>
      <c r="B11" s="7" t="inlineStr">
        <is>
          <t>购物消费</t>
        </is>
      </c>
      <c r="C11" s="12" t="inlineStr">
        <is>
          <t>支出</t>
        </is>
      </c>
      <c r="D11" s="7" t="inlineStr">
        <is>
          <t>日用品、服装、数码产品</t>
        </is>
      </c>
    </row>
    <row r="12">
      <c r="A12" s="9" t="n">
        <v>10</v>
      </c>
      <c r="B12" s="9" t="inlineStr">
        <is>
          <t>娱乐休闲</t>
        </is>
      </c>
      <c r="C12" s="11" t="inlineStr">
        <is>
          <t>支出</t>
        </is>
      </c>
      <c r="D12" s="9" t="inlineStr">
        <is>
          <t>电影、游戏、运动健身</t>
        </is>
      </c>
    </row>
    <row r="13">
      <c r="A13" s="7" t="n">
        <v>11</v>
      </c>
      <c r="B13" s="7" t="inlineStr">
        <is>
          <t>通讯网络</t>
        </is>
      </c>
      <c r="C13" s="12" t="inlineStr">
        <is>
          <t>支出</t>
        </is>
      </c>
      <c r="D13" s="7" t="inlineStr">
        <is>
          <t>话费、网费</t>
        </is>
      </c>
    </row>
    <row r="14">
      <c r="A14" s="9" t="n">
        <v>12</v>
      </c>
      <c r="B14" s="9" t="inlineStr">
        <is>
          <t>医疗健康</t>
        </is>
      </c>
      <c r="C14" s="11" t="inlineStr">
        <is>
          <t>支出</t>
        </is>
      </c>
      <c r="D14" s="9" t="inlineStr">
        <is>
          <t>看病买药、体检、保险</t>
        </is>
      </c>
    </row>
    <row r="15">
      <c r="A15" s="7" t="n">
        <v>13</v>
      </c>
      <c r="B15" s="7" t="inlineStr">
        <is>
          <t>学习提升</t>
        </is>
      </c>
      <c r="C15" s="12" t="inlineStr">
        <is>
          <t>支出</t>
        </is>
      </c>
      <c r="D15" s="7" t="inlineStr">
        <is>
          <t>课程、书籍、培训</t>
        </is>
      </c>
    </row>
    <row r="16">
      <c r="A16" s="9" t="n">
        <v>14</v>
      </c>
      <c r="B16" s="9" t="inlineStr">
        <is>
          <t>人情往来</t>
        </is>
      </c>
      <c r="C16" s="11" t="inlineStr">
        <is>
          <t>支出</t>
        </is>
      </c>
      <c r="D16" s="9" t="inlineStr">
        <is>
          <t>随礼、请客</t>
        </is>
      </c>
    </row>
    <row r="17">
      <c r="A17" s="7" t="n">
        <v>15</v>
      </c>
      <c r="B17" s="7" t="inlineStr">
        <is>
          <t>其他支出</t>
        </is>
      </c>
      <c r="C17" s="12" t="inlineStr">
        <is>
          <t>支出</t>
        </is>
      </c>
      <c r="D17" s="7" t="inlineStr">
        <is>
          <t>其他杂项支出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14" customWidth="1" min="5" max="5"/>
    <col width="20" customWidth="1" min="6" max="6"/>
    <col width="30" customWidth="1" min="7" max="7"/>
  </cols>
  <sheetData>
    <row r="1" ht="35" customHeight="1">
      <c r="A1" s="5" t="inlineStr">
        <is>
          <t>📝 收支记账记录</t>
        </is>
      </c>
    </row>
    <row r="2">
      <c r="A2" s="13" t="inlineStr">
        <is>
          <t>当月收入：</t>
        </is>
      </c>
      <c r="C2" s="14">
        <f>SUMPRODUCT(($D$4:$D$42="收入")*($E$4:$E$42))</f>
        <v/>
      </c>
      <c r="D2" s="15" t="inlineStr">
        <is>
          <t>当月支出：</t>
        </is>
      </c>
      <c r="F2" s="16">
        <f>SUMPRODUCT(($D$4:$D$42="支出")*($E$4:$E$42))</f>
        <v/>
      </c>
      <c r="G2" s="17">
        <f>C2-F2</f>
        <v/>
      </c>
    </row>
    <row r="3">
      <c r="A3" s="6" t="inlineStr">
        <is>
          <t>序号</t>
        </is>
      </c>
      <c r="B3" s="6" t="inlineStr">
        <is>
          <t>日期</t>
        </is>
      </c>
      <c r="C3" s="6" t="inlineStr">
        <is>
          <t>类别</t>
        </is>
      </c>
      <c r="D3" s="6" t="inlineStr">
        <is>
          <t>类型</t>
        </is>
      </c>
      <c r="E3" s="6" t="inlineStr">
        <is>
          <t>金额(元)</t>
        </is>
      </c>
      <c r="F3" s="6" t="inlineStr">
        <is>
          <t>支付方式</t>
        </is>
      </c>
      <c r="G3" s="6" t="inlineStr">
        <is>
          <t>备注</t>
        </is>
      </c>
    </row>
    <row r="4">
      <c r="A4" s="7" t="n">
        <v>1</v>
      </c>
      <c r="B4" s="7" t="inlineStr">
        <is>
          <t>2026-05-01</t>
        </is>
      </c>
      <c r="C4" s="7" t="inlineStr">
        <is>
          <t>工资薪金</t>
        </is>
      </c>
      <c r="D4" s="7" t="inlineStr">
        <is>
          <t>收入</t>
        </is>
      </c>
      <c r="E4" s="18" t="n">
        <v>15000</v>
      </c>
      <c r="F4" s="7" t="inlineStr">
        <is>
          <t>银行转账</t>
        </is>
      </c>
      <c r="G4" s="7" t="inlineStr">
        <is>
          <t>5月份工资</t>
        </is>
      </c>
    </row>
    <row r="5">
      <c r="A5" s="9" t="n">
        <v>2</v>
      </c>
      <c r="B5" s="9" t="inlineStr">
        <is>
          <t>2026-05-03</t>
        </is>
      </c>
      <c r="C5" s="9" t="inlineStr">
        <is>
          <t>餐饮饮食</t>
        </is>
      </c>
      <c r="D5" s="9" t="inlineStr">
        <is>
          <t>支出</t>
        </is>
      </c>
      <c r="E5" s="19" t="n">
        <v>35</v>
      </c>
      <c r="F5" s="9" t="inlineStr">
        <is>
          <t>微信支付</t>
        </is>
      </c>
      <c r="G5" s="9" t="inlineStr">
        <is>
          <t>午餐</t>
        </is>
      </c>
    </row>
    <row r="6">
      <c r="A6" s="7" t="n">
        <v>3</v>
      </c>
      <c r="B6" s="7" t="inlineStr">
        <is>
          <t>2026-05-04</t>
        </is>
      </c>
      <c r="C6" s="7" t="inlineStr">
        <is>
          <t>交通出行</t>
        </is>
      </c>
      <c r="D6" s="7" t="inlineStr">
        <is>
          <t>支出</t>
        </is>
      </c>
      <c r="E6" s="18" t="n">
        <v>6</v>
      </c>
      <c r="F6" s="7" t="inlineStr">
        <is>
          <t>支付宝</t>
        </is>
      </c>
      <c r="G6" s="7" t="inlineStr">
        <is>
          <t>地铁</t>
        </is>
      </c>
    </row>
    <row r="7">
      <c r="A7" s="9" t="n">
        <v>4</v>
      </c>
      <c r="B7" s="9" t="inlineStr">
        <is>
          <t>2026-05-05</t>
        </is>
      </c>
      <c r="C7" s="9" t="inlineStr">
        <is>
          <t>购物消费</t>
        </is>
      </c>
      <c r="D7" s="9" t="inlineStr">
        <is>
          <t>支出</t>
        </is>
      </c>
      <c r="E7" s="19" t="n">
        <v>299</v>
      </c>
      <c r="F7" s="9" t="inlineStr">
        <is>
          <t>信用卡</t>
        </is>
      </c>
      <c r="G7" s="9" t="inlineStr">
        <is>
          <t>买了一件T恤</t>
        </is>
      </c>
    </row>
    <row r="8">
      <c r="A8" s="7" t="n">
        <v>5</v>
      </c>
      <c r="B8" s="7" t="inlineStr">
        <is>
          <t>2026-05-06</t>
        </is>
      </c>
      <c r="C8" s="7" t="inlineStr">
        <is>
          <t>餐饮饮食</t>
        </is>
      </c>
      <c r="D8" s="7" t="inlineStr">
        <is>
          <t>支出</t>
        </is>
      </c>
      <c r="E8" s="18" t="n">
        <v>68</v>
      </c>
      <c r="F8" s="7" t="inlineStr">
        <is>
          <t>微信支付</t>
        </is>
      </c>
      <c r="G8" s="7" t="inlineStr">
        <is>
          <t>和朋友晚餐</t>
        </is>
      </c>
    </row>
    <row r="9">
      <c r="A9" s="9" t="n">
        <v>6</v>
      </c>
      <c r="B9" s="9" t="inlineStr">
        <is>
          <t>2026-05-07</t>
        </is>
      </c>
      <c r="C9" s="9" t="inlineStr">
        <is>
          <t>交通出行</t>
        </is>
      </c>
      <c r="D9" s="9" t="inlineStr">
        <is>
          <t>支出</t>
        </is>
      </c>
      <c r="E9" s="19" t="n">
        <v>12</v>
      </c>
      <c r="F9" s="9" t="inlineStr">
        <is>
          <t>支付宝</t>
        </is>
      </c>
      <c r="G9" s="9" t="inlineStr">
        <is>
          <t>打车回家</t>
        </is>
      </c>
    </row>
    <row r="10">
      <c r="A10" s="7" t="n">
        <v>7</v>
      </c>
      <c r="B10" s="7" t="inlineStr">
        <is>
          <t>2026-05-08</t>
        </is>
      </c>
      <c r="C10" s="7" t="inlineStr">
        <is>
          <t>住房物业</t>
        </is>
      </c>
      <c r="D10" s="7" t="inlineStr">
        <is>
          <t>支出</t>
        </is>
      </c>
      <c r="E10" s="18" t="n">
        <v>3500</v>
      </c>
      <c r="F10" s="7" t="inlineStr">
        <is>
          <t>银行转账</t>
        </is>
      </c>
      <c r="G10" s="7" t="inlineStr">
        <is>
          <t>房租</t>
        </is>
      </c>
    </row>
    <row r="11">
      <c r="A11" s="9" t="n">
        <v>8</v>
      </c>
      <c r="B11" s="9" t="inlineStr">
        <is>
          <t>2026-05-10</t>
        </is>
      </c>
      <c r="C11" s="9" t="inlineStr">
        <is>
          <t>投资收益</t>
        </is>
      </c>
      <c r="D11" s="9" t="inlineStr">
        <is>
          <t>收入</t>
        </is>
      </c>
      <c r="E11" s="19" t="n">
        <v>520</v>
      </c>
      <c r="F11" s="9" t="inlineStr">
        <is>
          <t>银行转账</t>
        </is>
      </c>
      <c r="G11" s="9" t="inlineStr">
        <is>
          <t>基金分红</t>
        </is>
      </c>
    </row>
    <row r="12">
      <c r="A12" s="7" t="n">
        <v>9</v>
      </c>
      <c r="B12" s="7" t="inlineStr">
        <is>
          <t>2026-05-11</t>
        </is>
      </c>
      <c r="C12" s="7" t="inlineStr">
        <is>
          <t>餐饮饮食</t>
        </is>
      </c>
      <c r="D12" s="7" t="inlineStr">
        <is>
          <t>支出</t>
        </is>
      </c>
      <c r="E12" s="18" t="n">
        <v>25</v>
      </c>
      <c r="F12" s="7" t="inlineStr">
        <is>
          <t>微信支付</t>
        </is>
      </c>
      <c r="G12" s="7" t="inlineStr">
        <is>
          <t>早餐+咖啡</t>
        </is>
      </c>
    </row>
    <row r="13">
      <c r="A13" s="9" t="n">
        <v>10</v>
      </c>
      <c r="B13" s="9" t="inlineStr">
        <is>
          <t>2026-05-12</t>
        </is>
      </c>
      <c r="C13" s="9" t="inlineStr">
        <is>
          <t>娱乐休闲</t>
        </is>
      </c>
      <c r="D13" s="9" t="inlineStr">
        <is>
          <t>支出</t>
        </is>
      </c>
      <c r="E13" s="19" t="n">
        <v>45</v>
      </c>
      <c r="F13" s="9" t="inlineStr">
        <is>
          <t>支付宝</t>
        </is>
      </c>
      <c r="G13" s="9" t="inlineStr">
        <is>
          <t>电影票</t>
        </is>
      </c>
    </row>
    <row r="14">
      <c r="A14" s="7" t="n">
        <v>11</v>
      </c>
      <c r="B14" s="7" t="inlineStr">
        <is>
          <t>2026-05-13</t>
        </is>
      </c>
      <c r="C14" s="7" t="inlineStr">
        <is>
          <t>通讯网络</t>
        </is>
      </c>
      <c r="D14" s="7" t="inlineStr">
        <is>
          <t>支出</t>
        </is>
      </c>
      <c r="E14" s="18" t="n">
        <v>100</v>
      </c>
      <c r="F14" s="7" t="inlineStr">
        <is>
          <t>支付宝</t>
        </is>
      </c>
      <c r="G14" s="7" t="inlineStr">
        <is>
          <t>话费充值</t>
        </is>
      </c>
    </row>
    <row r="15">
      <c r="A15" s="9" t="n">
        <v>12</v>
      </c>
      <c r="B15" s="9" t="inlineStr">
        <is>
          <t>2026-05-14</t>
        </is>
      </c>
      <c r="C15" s="9" t="inlineStr">
        <is>
          <t>餐饮饮食</t>
        </is>
      </c>
      <c r="D15" s="9" t="inlineStr">
        <is>
          <t>支出</t>
        </is>
      </c>
      <c r="E15" s="19" t="n">
        <v>42</v>
      </c>
      <c r="F15" s="9" t="inlineStr">
        <is>
          <t>微信支付</t>
        </is>
      </c>
      <c r="G15" s="9" t="inlineStr">
        <is>
          <t>午餐外卖</t>
        </is>
      </c>
    </row>
    <row r="16">
      <c r="A16" s="7" t="n">
        <v>13</v>
      </c>
      <c r="B16" s="7" t="inlineStr">
        <is>
          <t>2026-05-15</t>
        </is>
      </c>
      <c r="C16" s="7" t="inlineStr">
        <is>
          <t>购物消费</t>
        </is>
      </c>
      <c r="D16" s="7" t="inlineStr">
        <is>
          <t>支出</t>
        </is>
      </c>
      <c r="E16" s="18" t="n">
        <v>89</v>
      </c>
      <c r="F16" s="7" t="inlineStr">
        <is>
          <t>信用卡</t>
        </is>
      </c>
      <c r="G16" s="7" t="inlineStr">
        <is>
          <t>日用品采购</t>
        </is>
      </c>
    </row>
    <row r="17">
      <c r="A17" s="9" t="n">
        <v>14</v>
      </c>
      <c r="B17" s="9" t="inlineStr">
        <is>
          <t>2026-05-16</t>
        </is>
      </c>
      <c r="C17" s="9" t="inlineStr">
        <is>
          <t>交通出行</t>
        </is>
      </c>
      <c r="D17" s="9" t="inlineStr">
        <is>
          <t>支出</t>
        </is>
      </c>
      <c r="E17" s="19" t="n">
        <v>6</v>
      </c>
      <c r="F17" s="9" t="inlineStr">
        <is>
          <t>支付宝</t>
        </is>
      </c>
      <c r="G17" s="9" t="inlineStr">
        <is>
          <t>地铁</t>
        </is>
      </c>
    </row>
    <row r="18">
      <c r="A18" s="7" t="n">
        <v>15</v>
      </c>
      <c r="B18" s="7" t="inlineStr">
        <is>
          <t>2026-05-17</t>
        </is>
      </c>
      <c r="C18" s="7" t="inlineStr">
        <is>
          <t>学习提升</t>
        </is>
      </c>
      <c r="D18" s="7" t="inlineStr">
        <is>
          <t>支出</t>
        </is>
      </c>
      <c r="E18" s="18" t="n">
        <v>199</v>
      </c>
      <c r="F18" s="7" t="inlineStr">
        <is>
          <t>微信支付</t>
        </is>
      </c>
      <c r="G18" s="7" t="inlineStr">
        <is>
          <t>买书</t>
        </is>
      </c>
    </row>
    <row r="19">
      <c r="A19" s="9" t="n">
        <v>16</v>
      </c>
      <c r="B19" s="9" t="inlineStr">
        <is>
          <t>2026-05-18</t>
        </is>
      </c>
      <c r="C19" s="9" t="inlineStr">
        <is>
          <t>餐饮饮食</t>
        </is>
      </c>
      <c r="D19" s="9" t="inlineStr">
        <is>
          <t>支出</t>
        </is>
      </c>
      <c r="E19" s="19" t="n">
        <v>156</v>
      </c>
      <c r="F19" s="9" t="inlineStr">
        <is>
          <t>微信支付</t>
        </is>
      </c>
      <c r="G19" s="9" t="inlineStr">
        <is>
          <t>朋友聚餐</t>
        </is>
      </c>
    </row>
    <row r="20">
      <c r="A20" s="7" t="n">
        <v>17</v>
      </c>
      <c r="B20" s="7" t="inlineStr">
        <is>
          <t>2026-05-19</t>
        </is>
      </c>
      <c r="C20" s="7" t="inlineStr">
        <is>
          <t>医疗健康</t>
        </is>
      </c>
      <c r="D20" s="7" t="inlineStr">
        <is>
          <t>支出</t>
        </is>
      </c>
      <c r="E20" s="18" t="n">
        <v>85</v>
      </c>
      <c r="F20" s="7" t="inlineStr">
        <is>
          <t>支付宝</t>
        </is>
      </c>
      <c r="G20" s="7" t="inlineStr">
        <is>
          <t>药店买药</t>
        </is>
      </c>
    </row>
    <row r="21">
      <c r="A21" s="9" t="n">
        <v>18</v>
      </c>
      <c r="B21" s="9" t="inlineStr">
        <is>
          <t>2026-05-20</t>
        </is>
      </c>
      <c r="C21" s="9" t="inlineStr">
        <is>
          <t>礼金红包</t>
        </is>
      </c>
      <c r="D21" s="9" t="inlineStr">
        <is>
          <t>收入</t>
        </is>
      </c>
      <c r="E21" s="19" t="n">
        <v>200</v>
      </c>
      <c r="F21" s="9" t="inlineStr">
        <is>
          <t>微信红包</t>
        </is>
      </c>
      <c r="G21" s="9" t="inlineStr">
        <is>
          <t>生日红包</t>
        </is>
      </c>
    </row>
    <row r="22">
      <c r="A22" s="7" t="n">
        <v>19</v>
      </c>
      <c r="B22" s="7" t="inlineStr">
        <is>
          <t>2026-05-21</t>
        </is>
      </c>
      <c r="C22" s="7" t="inlineStr">
        <is>
          <t>餐饮饮食</t>
        </is>
      </c>
      <c r="D22" s="7" t="inlineStr">
        <is>
          <t>支出</t>
        </is>
      </c>
      <c r="E22" s="18" t="n">
        <v>32</v>
      </c>
      <c r="F22" s="7" t="inlineStr">
        <is>
          <t>微信支付</t>
        </is>
      </c>
      <c r="G22" s="7" t="inlineStr">
        <is>
          <t>午餐</t>
        </is>
      </c>
    </row>
    <row r="23">
      <c r="A23" s="9" t="n">
        <v>20</v>
      </c>
      <c r="B23" s="9" t="inlineStr">
        <is>
          <t>2026-05-21</t>
        </is>
      </c>
      <c r="C23" s="9" t="inlineStr">
        <is>
          <t>购物消费</t>
        </is>
      </c>
      <c r="D23" s="9" t="inlineStr">
        <is>
          <t>支出</t>
        </is>
      </c>
      <c r="E23" s="19" t="n">
        <v>450</v>
      </c>
      <c r="F23" s="9" t="inlineStr">
        <is>
          <t>信用卡</t>
        </is>
      </c>
      <c r="G23" s="9" t="inlineStr">
        <is>
          <t>网购</t>
        </is>
      </c>
    </row>
    <row r="24">
      <c r="A24" s="7" t="n"/>
      <c r="B24" s="7" t="n"/>
      <c r="C24" s="7" t="n"/>
      <c r="D24" s="7" t="n"/>
      <c r="E24" s="18" t="n"/>
      <c r="F24" s="7" t="n"/>
      <c r="G24" s="7" t="n"/>
    </row>
    <row r="25">
      <c r="A25" s="9" t="n"/>
      <c r="B25" s="9" t="n"/>
      <c r="C25" s="9" t="n"/>
      <c r="D25" s="9" t="n"/>
      <c r="E25" s="19" t="n"/>
      <c r="F25" s="9" t="n"/>
      <c r="G25" s="9" t="n"/>
    </row>
    <row r="26">
      <c r="A26" s="7" t="n"/>
      <c r="B26" s="7" t="n"/>
      <c r="C26" s="7" t="n"/>
      <c r="D26" s="7" t="n"/>
      <c r="E26" s="18" t="n"/>
      <c r="F26" s="7" t="n"/>
      <c r="G26" s="7" t="n"/>
    </row>
    <row r="27">
      <c r="A27" s="9" t="n"/>
      <c r="B27" s="9" t="n"/>
      <c r="C27" s="9" t="n"/>
      <c r="D27" s="9" t="n"/>
      <c r="E27" s="19" t="n"/>
      <c r="F27" s="9" t="n"/>
      <c r="G27" s="9" t="n"/>
    </row>
    <row r="28">
      <c r="A28" s="7" t="n"/>
      <c r="B28" s="7" t="n"/>
      <c r="C28" s="7" t="n"/>
      <c r="D28" s="7" t="n"/>
      <c r="E28" s="18" t="n"/>
      <c r="F28" s="7" t="n"/>
      <c r="G28" s="7" t="n"/>
    </row>
    <row r="29">
      <c r="A29" s="9" t="n"/>
      <c r="B29" s="9" t="n"/>
      <c r="C29" s="9" t="n"/>
      <c r="D29" s="9" t="n"/>
      <c r="E29" s="19" t="n"/>
      <c r="F29" s="9" t="n"/>
      <c r="G29" s="9" t="n"/>
    </row>
    <row r="30">
      <c r="A30" s="7" t="n"/>
      <c r="B30" s="7" t="n"/>
      <c r="C30" s="7" t="n"/>
      <c r="D30" s="7" t="n"/>
      <c r="E30" s="18" t="n"/>
      <c r="F30" s="7" t="n"/>
      <c r="G30" s="7" t="n"/>
    </row>
    <row r="31">
      <c r="A31" s="9" t="n"/>
      <c r="B31" s="9" t="n"/>
      <c r="C31" s="9" t="n"/>
      <c r="D31" s="9" t="n"/>
      <c r="E31" s="19" t="n"/>
      <c r="F31" s="9" t="n"/>
      <c r="G31" s="9" t="n"/>
    </row>
    <row r="32">
      <c r="A32" s="7" t="n"/>
      <c r="B32" s="7" t="n"/>
      <c r="C32" s="7" t="n"/>
      <c r="D32" s="7" t="n"/>
      <c r="E32" s="18" t="n"/>
      <c r="F32" s="7" t="n"/>
      <c r="G32" s="7" t="n"/>
    </row>
    <row r="33">
      <c r="A33" s="9" t="n"/>
      <c r="B33" s="9" t="n"/>
      <c r="C33" s="9" t="n"/>
      <c r="D33" s="9" t="n"/>
      <c r="E33" s="19" t="n"/>
      <c r="F33" s="9" t="n"/>
      <c r="G33" s="9" t="n"/>
    </row>
    <row r="34">
      <c r="A34" s="7" t="n"/>
      <c r="B34" s="7" t="n"/>
      <c r="C34" s="7" t="n"/>
      <c r="D34" s="7" t="n"/>
      <c r="E34" s="18" t="n"/>
      <c r="F34" s="7" t="n"/>
      <c r="G34" s="7" t="n"/>
    </row>
    <row r="35">
      <c r="A35" s="9" t="n"/>
      <c r="B35" s="9" t="n"/>
      <c r="C35" s="9" t="n"/>
      <c r="D35" s="9" t="n"/>
      <c r="E35" s="19" t="n"/>
      <c r="F35" s="9" t="n"/>
      <c r="G35" s="9" t="n"/>
    </row>
    <row r="36">
      <c r="A36" s="7" t="n"/>
      <c r="B36" s="7" t="n"/>
      <c r="C36" s="7" t="n"/>
      <c r="D36" s="7" t="n"/>
      <c r="E36" s="18" t="n"/>
      <c r="F36" s="7" t="n"/>
      <c r="G36" s="7" t="n"/>
    </row>
    <row r="37">
      <c r="A37" s="9" t="n"/>
      <c r="B37" s="9" t="n"/>
      <c r="C37" s="9" t="n"/>
      <c r="D37" s="9" t="n"/>
      <c r="E37" s="19" t="n"/>
      <c r="F37" s="9" t="n"/>
      <c r="G37" s="9" t="n"/>
    </row>
    <row r="38">
      <c r="A38" s="7" t="n"/>
      <c r="B38" s="7" t="n"/>
      <c r="C38" s="7" t="n"/>
      <c r="D38" s="7" t="n"/>
      <c r="E38" s="18" t="n"/>
      <c r="F38" s="7" t="n"/>
      <c r="G38" s="7" t="n"/>
    </row>
    <row r="39">
      <c r="A39" s="9" t="n"/>
      <c r="B39" s="9" t="n"/>
      <c r="C39" s="9" t="n"/>
      <c r="D39" s="9" t="n"/>
      <c r="E39" s="19" t="n"/>
      <c r="F39" s="9" t="n"/>
      <c r="G39" s="9" t="n"/>
    </row>
    <row r="40">
      <c r="A40" s="7" t="n"/>
      <c r="B40" s="7" t="n"/>
      <c r="C40" s="7" t="n"/>
      <c r="D40" s="7" t="n"/>
      <c r="E40" s="18" t="n"/>
      <c r="F40" s="7" t="n"/>
      <c r="G40" s="7" t="n"/>
    </row>
    <row r="41">
      <c r="A41" s="9" t="n"/>
      <c r="B41" s="9" t="n"/>
      <c r="C41" s="9" t="n"/>
      <c r="D41" s="9" t="n"/>
      <c r="E41" s="19" t="n"/>
      <c r="F41" s="9" t="n"/>
      <c r="G41" s="9" t="n"/>
    </row>
    <row r="42">
      <c r="A42" s="7" t="n"/>
      <c r="B42" s="7" t="n"/>
      <c r="C42" s="7" t="n"/>
      <c r="D42" s="7" t="n"/>
      <c r="E42" s="18" t="n"/>
      <c r="F42" s="7" t="n"/>
      <c r="G42" s="7" t="n"/>
    </row>
    <row r="43">
      <c r="A43" s="9" t="n"/>
      <c r="B43" s="9" t="n"/>
      <c r="C43" s="9" t="n"/>
      <c r="D43" s="9" t="n"/>
      <c r="E43" s="19" t="n"/>
      <c r="F43" s="9" t="n"/>
      <c r="G43" s="9" t="n"/>
    </row>
  </sheetData>
  <autoFilter ref="A3:G23"/>
  <mergeCells count="3">
    <mergeCell ref="A2:B2"/>
    <mergeCell ref="A1:G1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📊 财务仪表盘</t>
        </is>
      </c>
    </row>
    <row r="3" ht="30" customHeight="1">
      <c r="A3" s="20" t="inlineStr">
        <is>
          <t>本月总收入</t>
        </is>
      </c>
      <c r="B3" s="21" t="n"/>
      <c r="C3" s="22" t="inlineStr">
        <is>
          <t>本月总支出</t>
        </is>
      </c>
      <c r="D3" s="21" t="n"/>
      <c r="E3" s="23" t="inlineStr">
        <is>
          <t>本月结余</t>
        </is>
      </c>
      <c r="F3" s="21" t="n"/>
      <c r="G3" s="24" t="inlineStr">
        <is>
          <t>预算使用率</t>
        </is>
      </c>
      <c r="H3" s="21" t="n"/>
    </row>
    <row r="4" ht="40" customHeight="1">
      <c r="A4" s="25">
        <f>SUMPRODUCT((记账记录!$D$4:$D$1000="收入")*(记账记录!$E$4:$E$1000))</f>
        <v/>
      </c>
      <c r="B4" s="21" t="n"/>
      <c r="C4" s="26">
        <f>SUMPRODUCT((记账记录!$D$4:$D$1000="支出")*(记账记录!$E$4:$E$1000))</f>
        <v/>
      </c>
      <c r="D4" s="21" t="n"/>
      <c r="E4" s="27">
        <f>A4-C4</f>
        <v/>
      </c>
      <c r="F4" s="21" t="n"/>
      <c r="G4" s="28">
        <f>C4/5000</f>
        <v/>
      </c>
      <c r="H4" s="21" t="n"/>
    </row>
    <row r="6">
      <c r="A6" s="29" t="inlineStr">
        <is>
          <t>支出分类汇总</t>
        </is>
      </c>
      <c r="D6" s="14" t="inlineStr">
        <is>
          <t>收入分类汇总</t>
        </is>
      </c>
      <c r="G6" s="29" t="inlineStr">
        <is>
          <t>月度趋势</t>
        </is>
      </c>
    </row>
    <row r="7">
      <c r="A7" s="6" t="inlineStr">
        <is>
          <t>类别</t>
        </is>
      </c>
      <c r="B7" s="6" t="inlineStr">
        <is>
          <t>金额</t>
        </is>
      </c>
      <c r="C7" s="6" t="n"/>
      <c r="D7" s="6" t="inlineStr">
        <is>
          <t>类别</t>
        </is>
      </c>
      <c r="E7" s="6" t="inlineStr">
        <is>
          <t>金额</t>
        </is>
      </c>
      <c r="F7" s="6" t="n"/>
      <c r="G7" s="6" t="inlineStr">
        <is>
          <t>月份</t>
        </is>
      </c>
      <c r="H7" s="6" t="inlineStr">
        <is>
          <t>收入</t>
        </is>
      </c>
      <c r="I7" s="6" t="inlineStr">
        <is>
          <t>支出</t>
        </is>
      </c>
    </row>
    <row r="8">
      <c r="A8" s="7" t="inlineStr">
        <is>
          <t>餐饮饮食</t>
        </is>
      </c>
      <c r="B8" s="18">
        <f>SUMIF(记账记录!C:C,A8,记账记录!E:E)</f>
        <v/>
      </c>
      <c r="D8" s="7" t="inlineStr">
        <is>
          <t>工资薪金</t>
        </is>
      </c>
      <c r="E8" s="18">
        <f>SUMIF(记账记录!C:C,D8,记账记录!E:E)</f>
        <v/>
      </c>
      <c r="G8" s="7" t="inlineStr">
        <is>
          <t>1月</t>
        </is>
      </c>
      <c r="H8" s="30" t="n"/>
      <c r="I8" s="30" t="n"/>
    </row>
    <row r="9">
      <c r="A9" s="7" t="inlineStr">
        <is>
          <t>交通出行</t>
        </is>
      </c>
      <c r="B9" s="18">
        <f>SUMIF(记账记录!C:C,A9,记账记录!E:E)</f>
        <v/>
      </c>
      <c r="D9" s="7" t="inlineStr">
        <is>
          <t>投资收益</t>
        </is>
      </c>
      <c r="E9" s="18">
        <f>SUMIF(记账记录!C:C,D9,记账记录!E:E)</f>
        <v/>
      </c>
      <c r="G9" s="7" t="inlineStr">
        <is>
          <t>2月</t>
        </is>
      </c>
      <c r="H9" s="30" t="n"/>
      <c r="I9" s="30" t="n"/>
    </row>
    <row r="10">
      <c r="A10" s="7" t="inlineStr">
        <is>
          <t>住房物业</t>
        </is>
      </c>
      <c r="B10" s="18">
        <f>SUMIF(记账记录!C:C,A10,记账记录!E:E)</f>
        <v/>
      </c>
      <c r="D10" s="7" t="inlineStr">
        <is>
          <t>兼职收入</t>
        </is>
      </c>
      <c r="E10" s="18">
        <f>SUMIF(记账记录!C:C,D10,记账记录!E:E)</f>
        <v/>
      </c>
      <c r="G10" s="7" t="inlineStr">
        <is>
          <t>3月</t>
        </is>
      </c>
      <c r="H10" s="30" t="n"/>
      <c r="I10" s="30" t="n"/>
    </row>
    <row r="11">
      <c r="A11" s="7" t="inlineStr">
        <is>
          <t>购物消费</t>
        </is>
      </c>
      <c r="B11" s="18">
        <f>SUMIF(记账记录!C:C,A11,记账记录!E:E)</f>
        <v/>
      </c>
      <c r="D11" s="7" t="inlineStr">
        <is>
          <t>礼金红包</t>
        </is>
      </c>
      <c r="E11" s="18">
        <f>SUMIF(记账记录!C:C,D11,记账记录!E:E)</f>
        <v/>
      </c>
      <c r="G11" s="7" t="inlineStr">
        <is>
          <t>4月</t>
        </is>
      </c>
      <c r="H11" s="30" t="n"/>
      <c r="I11" s="30" t="n"/>
    </row>
    <row r="12">
      <c r="A12" s="7" t="inlineStr">
        <is>
          <t>娱乐休闲</t>
        </is>
      </c>
      <c r="B12" s="18">
        <f>SUMIF(记账记录!C:C,A12,记账记录!E:E)</f>
        <v/>
      </c>
      <c r="D12" s="7" t="inlineStr">
        <is>
          <t>其他收入</t>
        </is>
      </c>
      <c r="E12" s="18">
        <f>SUMIF(记账记录!C:C,D12,记账记录!E:E)</f>
        <v/>
      </c>
      <c r="G12" s="7" t="inlineStr">
        <is>
          <t>5月</t>
        </is>
      </c>
      <c r="H12" s="30" t="n"/>
      <c r="I12" s="30" t="n"/>
    </row>
    <row r="13">
      <c r="A13" s="7" t="inlineStr">
        <is>
          <t>通讯网络</t>
        </is>
      </c>
      <c r="B13" s="18">
        <f>SUMIF(记账记录!C:C,A13,记账记录!E:E)</f>
        <v/>
      </c>
      <c r="G13" s="7" t="inlineStr">
        <is>
          <t>6月</t>
        </is>
      </c>
      <c r="H13" s="30" t="n"/>
      <c r="I13" s="30" t="n"/>
    </row>
    <row r="14">
      <c r="A14" s="7" t="inlineStr">
        <is>
          <t>医疗健康</t>
        </is>
      </c>
      <c r="B14" s="18">
        <f>SUMIF(记账记录!C:C,A14,记账记录!E:E)</f>
        <v/>
      </c>
      <c r="G14" s="7" t="inlineStr">
        <is>
          <t>7月</t>
        </is>
      </c>
      <c r="H14" s="30" t="n"/>
      <c r="I14" s="30" t="n"/>
    </row>
    <row r="15">
      <c r="A15" s="7" t="inlineStr">
        <is>
          <t>学习提升</t>
        </is>
      </c>
      <c r="B15" s="18">
        <f>SUMIF(记账记录!C:C,A15,记账记录!E:E)</f>
        <v/>
      </c>
      <c r="G15" s="7" t="inlineStr">
        <is>
          <t>8月</t>
        </is>
      </c>
      <c r="H15" s="30" t="n"/>
      <c r="I15" s="30" t="n"/>
    </row>
    <row r="16">
      <c r="A16" s="7" t="inlineStr">
        <is>
          <t>人情往来</t>
        </is>
      </c>
      <c r="B16" s="18">
        <f>SUMIF(记账记录!C:C,A16,记账记录!E:E)</f>
        <v/>
      </c>
      <c r="G16" s="7" t="inlineStr">
        <is>
          <t>9月</t>
        </is>
      </c>
      <c r="H16" s="30" t="n"/>
      <c r="I16" s="30" t="n"/>
    </row>
    <row r="17">
      <c r="A17" s="7" t="inlineStr">
        <is>
          <t>其他支出</t>
        </is>
      </c>
      <c r="B17" s="18">
        <f>SUMIF(记账记录!C:C,A17,记账记录!E:E)</f>
        <v/>
      </c>
      <c r="G17" s="7" t="inlineStr">
        <is>
          <t>10月</t>
        </is>
      </c>
      <c r="H17" s="30" t="n"/>
      <c r="I17" s="30" t="n"/>
    </row>
    <row r="18">
      <c r="G18" s="7" t="inlineStr">
        <is>
          <t>11月</t>
        </is>
      </c>
      <c r="H18" s="30" t="n"/>
      <c r="I18" s="30" t="n"/>
    </row>
    <row r="19">
      <c r="G19" s="7" t="inlineStr">
        <is>
          <t>12月</t>
        </is>
      </c>
      <c r="H19" s="30" t="n"/>
      <c r="I19" s="30" t="n"/>
    </row>
  </sheetData>
  <mergeCells count="12">
    <mergeCell ref="A4:B4"/>
    <mergeCell ref="G4:H4"/>
    <mergeCell ref="E4:F4"/>
    <mergeCell ref="D6:E6"/>
    <mergeCell ref="G6:H6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5" customHeight="1">
      <c r="A1" s="5" t="inlineStr">
        <is>
          <t>📈 月度收支汇总</t>
        </is>
      </c>
    </row>
    <row r="2">
      <c r="A2" s="6" t="inlineStr">
        <is>
          <t>月份</t>
        </is>
      </c>
      <c r="B2" s="6" t="inlineStr">
        <is>
          <t>收入总额</t>
        </is>
      </c>
      <c r="C2" s="6" t="inlineStr">
        <is>
          <t>支出总额</t>
        </is>
      </c>
      <c r="D2" s="6" t="inlineStr">
        <is>
          <t>结余</t>
        </is>
      </c>
      <c r="E2" s="6" t="inlineStr">
        <is>
          <t>预算</t>
        </is>
      </c>
      <c r="F2" s="6" t="inlineStr">
        <is>
          <t>预算使用率</t>
        </is>
      </c>
      <c r="G2" s="6" t="inlineStr">
        <is>
          <t>备注</t>
        </is>
      </c>
    </row>
    <row r="3">
      <c r="A3" s="31" t="inlineStr">
        <is>
          <t>1月</t>
        </is>
      </c>
      <c r="B3" s="32" t="n"/>
      <c r="C3" s="33" t="n"/>
      <c r="D3" s="34" t="n"/>
      <c r="E3" s="18" t="n">
        <v>0</v>
      </c>
      <c r="F3" s="35" t="n"/>
      <c r="G3" s="36" t="n"/>
    </row>
    <row r="4">
      <c r="A4" s="37" t="inlineStr">
        <is>
          <t>2月</t>
        </is>
      </c>
      <c r="B4" s="38" t="n"/>
      <c r="C4" s="39" t="n"/>
      <c r="D4" s="40" t="n"/>
      <c r="E4" s="19" t="n">
        <v>0</v>
      </c>
      <c r="F4" s="41" t="n"/>
      <c r="G4" s="42" t="n"/>
    </row>
    <row r="5">
      <c r="A5" s="31" t="inlineStr">
        <is>
          <t>3月</t>
        </is>
      </c>
      <c r="B5" s="32" t="n"/>
      <c r="C5" s="33" t="n"/>
      <c r="D5" s="34" t="n"/>
      <c r="E5" s="18" t="n">
        <v>0</v>
      </c>
      <c r="F5" s="35" t="n"/>
      <c r="G5" s="36" t="n"/>
    </row>
    <row r="6">
      <c r="A6" s="37" t="inlineStr">
        <is>
          <t>4月</t>
        </is>
      </c>
      <c r="B6" s="38" t="n"/>
      <c r="C6" s="39" t="n"/>
      <c r="D6" s="40" t="n"/>
      <c r="E6" s="19" t="n">
        <v>0</v>
      </c>
      <c r="F6" s="41" t="n"/>
      <c r="G6" s="42" t="n"/>
    </row>
    <row r="7">
      <c r="A7" s="31" t="inlineStr">
        <is>
          <t>5月</t>
        </is>
      </c>
      <c r="B7" s="32" t="n"/>
      <c r="C7" s="33" t="n"/>
      <c r="D7" s="34" t="n"/>
      <c r="E7" s="18" t="n">
        <v>5000</v>
      </c>
      <c r="F7" s="35" t="n"/>
      <c r="G7" s="36" t="n"/>
    </row>
    <row r="8">
      <c r="A8" s="37" t="inlineStr">
        <is>
          <t>6月</t>
        </is>
      </c>
      <c r="B8" s="38" t="n"/>
      <c r="C8" s="39" t="n"/>
      <c r="D8" s="40" t="n"/>
      <c r="E8" s="19" t="n">
        <v>5000</v>
      </c>
      <c r="F8" s="41" t="n"/>
      <c r="G8" s="42" t="n"/>
    </row>
    <row r="9">
      <c r="A9" s="31" t="inlineStr">
        <is>
          <t>7月</t>
        </is>
      </c>
      <c r="B9" s="32" t="n"/>
      <c r="C9" s="33" t="n"/>
      <c r="D9" s="34" t="n"/>
      <c r="E9" s="18" t="n">
        <v>5000</v>
      </c>
      <c r="F9" s="35" t="n"/>
      <c r="G9" s="36" t="n"/>
    </row>
    <row r="10">
      <c r="A10" s="37" t="inlineStr">
        <is>
          <t>8月</t>
        </is>
      </c>
      <c r="B10" s="38" t="n"/>
      <c r="C10" s="39" t="n"/>
      <c r="D10" s="40" t="n"/>
      <c r="E10" s="19" t="n">
        <v>5000</v>
      </c>
      <c r="F10" s="41" t="n"/>
      <c r="G10" s="42" t="n"/>
    </row>
    <row r="11">
      <c r="A11" s="31" t="inlineStr">
        <is>
          <t>9月</t>
        </is>
      </c>
      <c r="B11" s="32" t="n"/>
      <c r="C11" s="33" t="n"/>
      <c r="D11" s="34" t="n"/>
      <c r="E11" s="18" t="n">
        <v>5000</v>
      </c>
      <c r="F11" s="35" t="n"/>
      <c r="G11" s="36" t="n"/>
    </row>
    <row r="12">
      <c r="A12" s="37" t="inlineStr">
        <is>
          <t>10月</t>
        </is>
      </c>
      <c r="B12" s="38" t="n"/>
      <c r="C12" s="39" t="n"/>
      <c r="D12" s="40" t="n"/>
      <c r="E12" s="19" t="n">
        <v>5000</v>
      </c>
      <c r="F12" s="41" t="n"/>
      <c r="G12" s="42" t="n"/>
    </row>
    <row r="13">
      <c r="A13" s="31" t="inlineStr">
        <is>
          <t>11月</t>
        </is>
      </c>
      <c r="B13" s="32" t="n"/>
      <c r="C13" s="33" t="n"/>
      <c r="D13" s="34" t="n"/>
      <c r="E13" s="18" t="n">
        <v>5000</v>
      </c>
      <c r="F13" s="35" t="n"/>
      <c r="G13" s="36" t="n"/>
    </row>
    <row r="14">
      <c r="A14" s="37" t="inlineStr">
        <is>
          <t>12月</t>
        </is>
      </c>
      <c r="B14" s="38" t="n"/>
      <c r="C14" s="39" t="n"/>
      <c r="D14" s="40" t="n"/>
      <c r="E14" s="19" t="n">
        <v>5000</v>
      </c>
      <c r="F14" s="41" t="n"/>
      <c r="G14" s="42" t="n"/>
    </row>
    <row r="15">
      <c r="A15" s="4" t="inlineStr">
        <is>
          <t>合计</t>
        </is>
      </c>
      <c r="B15" s="43">
        <f>SUM(B3:B14)</f>
        <v/>
      </c>
      <c r="C15" s="43">
        <f>SUM(C3:C14)</f>
        <v/>
      </c>
      <c r="D15" s="43">
        <f>SUM(D3:D14)</f>
        <v/>
      </c>
      <c r="E15" s="43">
        <f>SUM(E3:E14)</f>
        <v/>
      </c>
      <c r="F15" s="44">
        <f>SUM(F3:F14)</f>
        <v/>
      </c>
      <c r="G15" s="45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5" customHeight="1">
      <c r="A1" s="5" t="inlineStr">
        <is>
          <t>🎯 月度预算设置</t>
        </is>
      </c>
    </row>
    <row r="2">
      <c r="A2" s="6" t="inlineStr">
        <is>
          <t>序号</t>
        </is>
      </c>
      <c r="B2" s="6" t="inlineStr">
        <is>
          <t>类别</t>
        </is>
      </c>
      <c r="C2" s="6" t="inlineStr">
        <is>
          <t>月度预算(元)</t>
        </is>
      </c>
      <c r="D2" s="6" t="inlineStr">
        <is>
          <t>已使用(元)</t>
        </is>
      </c>
      <c r="E2" s="6" t="inlineStr">
        <is>
          <t>剩余(元)</t>
        </is>
      </c>
      <c r="F2" s="6" t="inlineStr">
        <is>
          <t>状态</t>
        </is>
      </c>
    </row>
    <row r="3">
      <c r="A3" s="30" t="n">
        <v>1</v>
      </c>
      <c r="B3" s="30" t="inlineStr">
        <is>
          <t>餐饮饮食</t>
        </is>
      </c>
      <c r="C3" s="46" t="n"/>
      <c r="D3" s="33">
        <f>SUMIF(记账记录!C:C,B3,记账记录!E:E)</f>
        <v/>
      </c>
      <c r="E3" s="18">
        <f>IF(C3&gt;0,C3-D3,"")</f>
        <v/>
      </c>
      <c r="F3" s="7">
        <f>IF(C3&gt;0,IF(D3&gt;C3,"⚠️ 超支","✅ 正常"),"")</f>
        <v/>
      </c>
    </row>
    <row r="4">
      <c r="A4" s="47" t="n">
        <v>2</v>
      </c>
      <c r="B4" s="47" t="inlineStr">
        <is>
          <t>交通出行</t>
        </is>
      </c>
      <c r="C4" s="48" t="n"/>
      <c r="D4" s="39">
        <f>SUMIF(记账记录!C:C,B4,记账记录!E:E)</f>
        <v/>
      </c>
      <c r="E4" s="19">
        <f>IF(C4&gt;0,C4-D4,"")</f>
        <v/>
      </c>
      <c r="F4" s="9">
        <f>IF(C4&gt;0,IF(D4&gt;C4,"⚠️ 超支","✅ 正常"),"")</f>
        <v/>
      </c>
    </row>
    <row r="5">
      <c r="A5" s="30" t="n">
        <v>3</v>
      </c>
      <c r="B5" s="30" t="inlineStr">
        <is>
          <t>住房物业</t>
        </is>
      </c>
      <c r="C5" s="46" t="n"/>
      <c r="D5" s="33">
        <f>SUMIF(记账记录!C:C,B5,记账记录!E:E)</f>
        <v/>
      </c>
      <c r="E5" s="18">
        <f>IF(C5&gt;0,C5-D5,"")</f>
        <v/>
      </c>
      <c r="F5" s="7">
        <f>IF(C5&gt;0,IF(D5&gt;C5,"⚠️ 超支","✅ 正常"),"")</f>
        <v/>
      </c>
    </row>
    <row r="6">
      <c r="A6" s="47" t="n">
        <v>4</v>
      </c>
      <c r="B6" s="47" t="inlineStr">
        <is>
          <t>购物消费</t>
        </is>
      </c>
      <c r="C6" s="48" t="n"/>
      <c r="D6" s="39">
        <f>SUMIF(记账记录!C:C,B6,记账记录!E:E)</f>
        <v/>
      </c>
      <c r="E6" s="19">
        <f>IF(C6&gt;0,C6-D6,"")</f>
        <v/>
      </c>
      <c r="F6" s="9">
        <f>IF(C6&gt;0,IF(D6&gt;C6,"⚠️ 超支","✅ 正常"),"")</f>
        <v/>
      </c>
    </row>
    <row r="7">
      <c r="A7" s="30" t="n">
        <v>5</v>
      </c>
      <c r="B7" s="30" t="inlineStr">
        <is>
          <t>娱乐休闲</t>
        </is>
      </c>
      <c r="C7" s="46" t="n"/>
      <c r="D7" s="33">
        <f>SUMIF(记账记录!C:C,B7,记账记录!E:E)</f>
        <v/>
      </c>
      <c r="E7" s="18">
        <f>IF(C7&gt;0,C7-D7,"")</f>
        <v/>
      </c>
      <c r="F7" s="7">
        <f>IF(C7&gt;0,IF(D7&gt;C7,"⚠️ 超支","✅ 正常"),"")</f>
        <v/>
      </c>
    </row>
    <row r="8">
      <c r="A8" s="47" t="n">
        <v>6</v>
      </c>
      <c r="B8" s="47" t="inlineStr">
        <is>
          <t>通讯网络</t>
        </is>
      </c>
      <c r="C8" s="48" t="n"/>
      <c r="D8" s="39">
        <f>SUMIF(记账记录!C:C,B8,记账记录!E:E)</f>
        <v/>
      </c>
      <c r="E8" s="19">
        <f>IF(C8&gt;0,C8-D8,"")</f>
        <v/>
      </c>
      <c r="F8" s="9">
        <f>IF(C8&gt;0,IF(D8&gt;C8,"⚠️ 超支","✅ 正常"),"")</f>
        <v/>
      </c>
    </row>
    <row r="9">
      <c r="A9" s="30" t="n">
        <v>7</v>
      </c>
      <c r="B9" s="30" t="inlineStr">
        <is>
          <t>医疗健康</t>
        </is>
      </c>
      <c r="C9" s="46" t="n"/>
      <c r="D9" s="33">
        <f>SUMIF(记账记录!C:C,B9,记账记录!E:E)</f>
        <v/>
      </c>
      <c r="E9" s="18">
        <f>IF(C9&gt;0,C9-D9,"")</f>
        <v/>
      </c>
      <c r="F9" s="7">
        <f>IF(C9&gt;0,IF(D9&gt;C9,"⚠️ 超支","✅ 正常"),"")</f>
        <v/>
      </c>
    </row>
    <row r="10">
      <c r="A10" s="47" t="n">
        <v>8</v>
      </c>
      <c r="B10" s="47" t="inlineStr">
        <is>
          <t>学习提升</t>
        </is>
      </c>
      <c r="C10" s="48" t="n"/>
      <c r="D10" s="39">
        <f>SUMIF(记账记录!C:C,B10,记账记录!E:E)</f>
        <v/>
      </c>
      <c r="E10" s="19">
        <f>IF(C10&gt;0,C10-D10,"")</f>
        <v/>
      </c>
      <c r="F10" s="9">
        <f>IF(C10&gt;0,IF(D10&gt;C10,"⚠️ 超支","✅ 正常"),"")</f>
        <v/>
      </c>
    </row>
    <row r="11">
      <c r="A11" s="30" t="n">
        <v>9</v>
      </c>
      <c r="B11" s="30" t="inlineStr">
        <is>
          <t>人情往来</t>
        </is>
      </c>
      <c r="C11" s="46" t="n"/>
      <c r="D11" s="33">
        <f>SUMIF(记账记录!C:C,B11,记账记录!E:E)</f>
        <v/>
      </c>
      <c r="E11" s="18">
        <f>IF(C11&gt;0,C11-D11,"")</f>
        <v/>
      </c>
      <c r="F11" s="7">
        <f>IF(C11&gt;0,IF(D11&gt;C11,"⚠️ 超支","✅ 正常"),"")</f>
        <v/>
      </c>
    </row>
    <row r="12">
      <c r="A12" s="47" t="n">
        <v>10</v>
      </c>
      <c r="B12" s="47" t="inlineStr">
        <is>
          <t>其他支出</t>
        </is>
      </c>
      <c r="C12" s="48" t="n"/>
      <c r="D12" s="39">
        <f>SUMIF(记账记录!C:C,B12,记账记录!E:E)</f>
        <v/>
      </c>
      <c r="E12" s="19">
        <f>IF(C12&gt;0,C12-D12,"")</f>
        <v/>
      </c>
      <c r="F12" s="9">
        <f>IF(C12&gt;0,IF(D12&gt;C12,"⚠️ 超支","✅ 正常"),"")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2026-05-21T13:41:56Z</dcterms:created>
  <dcterms:modified xmlns:dcterms="http://purl.org/dc/terms/" xmlns:xsi="http://www.w3.org/2001/XMLSchema-instance" xsi:type="dcterms:W3CDTF">2026-05-21T13:41:56Z</dcterms:modified>
</cp:coreProperties>
</file>